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Allgemeine Kosteneinstellung" sheetId="2" state="visible" r:id="rId2"/>
    <sheet xmlns:r="http://schemas.openxmlformats.org/officeDocument/2006/relationships" name="Währungsrechner" sheetId="3" state="visible" r:id="rId3"/>
    <sheet xmlns:r="http://schemas.openxmlformats.org/officeDocument/2006/relationships" name="Reiseablauf" sheetId="4" state="visible" r:id="rId4"/>
    <sheet xmlns:r="http://schemas.openxmlformats.org/officeDocument/2006/relationships" name="Abrechn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Datum</t>
        </is>
      </c>
      <c r="C1" t="inlineStr">
        <is>
          <t>Programm</t>
        </is>
      </c>
      <c r="D1" t="inlineStr">
        <is>
          <t>Ort</t>
        </is>
      </c>
      <c r="E1" t="inlineStr">
        <is>
          <t>Übernachtung</t>
        </is>
      </c>
      <c r="F1" t="inlineStr">
        <is>
          <t>Notiz</t>
        </is>
      </c>
    </row>
    <row r="2">
      <c r="A2" t="n">
        <v>1</v>
      </c>
      <c r="B2" s="1" t="n">
        <v>47543</v>
      </c>
      <c r="C2" t="inlineStr">
        <is>
          <t>Anreise</t>
        </is>
      </c>
      <c r="D2" t="inlineStr">
        <is>
          <t>Lissabon</t>
        </is>
      </c>
      <c r="E2" t="inlineStr">
        <is>
          <t>Hotel Sol</t>
        </is>
      </c>
      <c r="F2" t="inlineStr">
        <is>
          <t>Flug am Morgen</t>
        </is>
      </c>
    </row>
    <row r="3">
      <c r="A3" t="n">
        <v>2</v>
      </c>
      <c r="B3" s="1" t="n">
        <v>47544</v>
      </c>
      <c r="C3" t="inlineStr">
        <is>
          <t>Altstadt</t>
        </is>
      </c>
      <c r="D3" t="inlineStr">
        <is>
          <t>Lissabon</t>
        </is>
      </c>
      <c r="E3" t="inlineStr">
        <is>
          <t>Hotel Sol</t>
        </is>
      </c>
      <c r="F3" t="inlineStr"/>
    </row>
    <row r="4">
      <c r="A4" t="n">
        <v>3</v>
      </c>
      <c r="B4" s="1" t="n">
        <v>47545</v>
      </c>
      <c r="C4" t="inlineStr">
        <is>
          <t>Fahrt an die Küste</t>
        </is>
      </c>
      <c r="D4" t="inlineStr">
        <is>
          <t>Lagos</t>
        </is>
      </c>
      <c r="E4" t="inlineStr">
        <is>
          <t>Casa Mar</t>
        </is>
      </c>
      <c r="F4" t="inlineStr"/>
    </row>
    <row r="5">
      <c r="A5" t="n">
        <v>4</v>
      </c>
      <c r="B5" s="1" t="n">
        <v>47546</v>
      </c>
      <c r="C5" t="inlineStr">
        <is>
          <t>Tauchen</t>
        </is>
      </c>
      <c r="D5" t="inlineStr">
        <is>
          <t>Lagos</t>
        </is>
      </c>
      <c r="E5" t="inlineStr">
        <is>
          <t>Casa Mar</t>
        </is>
      </c>
      <c r="F5" t="inlineStr">
        <is>
          <t>Zwei Tauchgänge</t>
        </is>
      </c>
    </row>
    <row r="6">
      <c r="A6" t="n">
        <v>5</v>
      </c>
      <c r="B6" s="1" t="n">
        <v>47547</v>
      </c>
      <c r="C6" t="inlineStr">
        <is>
          <t>Rückreise</t>
        </is>
      </c>
      <c r="D6" t="inlineStr"/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Pauschale</t>
        </is>
      </c>
      <c r="B1" t="inlineStr">
        <is>
          <t>Betrag CHF</t>
        </is>
      </c>
    </row>
    <row r="2">
      <c r="A2" t="inlineStr">
        <is>
          <t>Essen &amp; Trinken</t>
        </is>
      </c>
      <c r="B2" t="n">
        <v>70</v>
      </c>
    </row>
    <row r="3">
      <c r="A3" t="inlineStr">
        <is>
          <t>Unterkunft</t>
        </is>
      </c>
      <c r="B3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Währung</t>
        </is>
      </c>
      <c r="B1" t="inlineStr">
        <is>
          <t>CHF pro Einheit</t>
        </is>
      </c>
    </row>
    <row r="2">
      <c r="A2" t="inlineStr">
        <is>
          <t>EUR</t>
        </is>
      </c>
      <c r="B2" t="n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Aktivität</t>
        </is>
      </c>
      <c r="C1" t="inlineStr">
        <is>
          <t>Unterkunft</t>
        </is>
      </c>
      <c r="D1" t="inlineStr">
        <is>
          <t>Betrag</t>
        </is>
      </c>
      <c r="E1" t="inlineStr">
        <is>
          <t>Währung</t>
        </is>
      </c>
      <c r="F1" t="inlineStr">
        <is>
          <t>CHF</t>
        </is>
      </c>
      <c r="G1" t="inlineStr">
        <is>
          <t>Bezahlmethode</t>
        </is>
      </c>
      <c r="H1" t="inlineStr">
        <is>
          <t>Status</t>
        </is>
      </c>
      <c r="I1" t="inlineStr">
        <is>
          <t>Kommentar</t>
        </is>
      </c>
    </row>
    <row r="2">
      <c r="A2" s="1" t="n">
        <v>47543</v>
      </c>
      <c r="B2" t="inlineStr">
        <is>
          <t>Flug Zürich–Lissabon</t>
        </is>
      </c>
      <c r="C2" t="inlineStr">
        <is>
          <t>07:15</t>
        </is>
      </c>
      <c r="D2" t="n">
        <v>420</v>
      </c>
      <c r="E2" t="inlineStr">
        <is>
          <t>CHF</t>
        </is>
      </c>
      <c r="F2" t="n">
        <v>420</v>
      </c>
      <c r="G2" t="inlineStr">
        <is>
          <t>Testkarte</t>
        </is>
      </c>
      <c r="H2" t="inlineStr">
        <is>
          <t>bezahlt</t>
        </is>
      </c>
      <c r="I2" t="inlineStr"/>
    </row>
    <row r="3">
      <c r="B3" t="inlineStr">
        <is>
          <t>Unterkunft</t>
        </is>
      </c>
      <c r="C3" t="inlineStr">
        <is>
          <t>Hotel Sol</t>
        </is>
      </c>
      <c r="D3" t="n">
        <v>180</v>
      </c>
      <c r="E3" t="inlineStr">
        <is>
          <t>EUR</t>
        </is>
      </c>
      <c r="F3" t="n">
        <v>171</v>
      </c>
      <c r="G3" t="inlineStr">
        <is>
          <t>Testkarte</t>
        </is>
      </c>
      <c r="H3" t="inlineStr">
        <is>
          <t>reserviert</t>
        </is>
      </c>
      <c r="I3" t="inlineStr">
        <is>
          <t>zahlbar bis 15.2.30</t>
        </is>
      </c>
    </row>
    <row r="4">
      <c r="B4" t="inlineStr">
        <is>
          <t>Essen &amp; Trinken</t>
        </is>
      </c>
      <c r="C4" t="inlineStr"/>
      <c r="D4">
        <f>'Allgemeine Kosteneinstellung'!$B$2</f>
        <v/>
      </c>
      <c r="E4" t="inlineStr">
        <is>
          <t>CHF</t>
        </is>
      </c>
      <c r="G4" t="inlineStr"/>
      <c r="H4" t="inlineStr"/>
      <c r="I4" t="inlineStr"/>
    </row>
    <row r="5">
      <c r="A5" s="1" t="n">
        <v>47544</v>
      </c>
      <c r="B5" t="inlineStr">
        <is>
          <t>Unterkunft</t>
        </is>
      </c>
      <c r="C5" t="inlineStr">
        <is>
          <t>Hotel Sol</t>
        </is>
      </c>
      <c r="D5" t="n">
        <v>0</v>
      </c>
      <c r="E5" t="inlineStr">
        <is>
          <t>EUR</t>
        </is>
      </c>
      <c r="F5" t="n">
        <v>0</v>
      </c>
      <c r="G5" t="inlineStr"/>
      <c r="H5" t="inlineStr">
        <is>
          <t>reserviert</t>
        </is>
      </c>
      <c r="I5" t="inlineStr"/>
    </row>
    <row r="6">
      <c r="A6" s="1" t="n">
        <v>47544</v>
      </c>
      <c r="B6" t="inlineStr">
        <is>
          <t>Stadtführung</t>
        </is>
      </c>
      <c r="C6" t="inlineStr">
        <is>
          <t>10:00</t>
        </is>
      </c>
      <c r="D6" t="n">
        <v>35</v>
      </c>
      <c r="E6" t="inlineStr">
        <is>
          <t>EUR</t>
        </is>
      </c>
      <c r="G6" t="inlineStr"/>
      <c r="H6" t="inlineStr">
        <is>
          <t>vor Ort</t>
        </is>
      </c>
      <c r="I6" t="inlineStr">
        <is>
          <t>https://example.org/tour</t>
        </is>
      </c>
    </row>
    <row r="7">
      <c r="A7" s="1" t="n">
        <v>47545</v>
      </c>
      <c r="B7" t="inlineStr">
        <is>
          <t>Mietauto</t>
        </is>
      </c>
      <c r="C7" t="inlineStr"/>
      <c r="D7" t="n">
        <v>150</v>
      </c>
      <c r="E7" t="inlineStr">
        <is>
          <t>EUR</t>
        </is>
      </c>
      <c r="G7" t="inlineStr">
        <is>
          <t>Testkarte</t>
        </is>
      </c>
      <c r="H7" t="inlineStr">
        <is>
          <t>angezahlt</t>
        </is>
      </c>
      <c r="I7" t="inlineStr"/>
    </row>
    <row r="8">
      <c r="A8" s="1" t="n">
        <v>47545</v>
      </c>
      <c r="B8" t="inlineStr">
        <is>
          <t>Unterkunft</t>
        </is>
      </c>
      <c r="C8" t="inlineStr">
        <is>
          <t>Casa Mar</t>
        </is>
      </c>
      <c r="D8" t="n">
        <v>200</v>
      </c>
      <c r="E8" t="inlineStr">
        <is>
          <t>EUR</t>
        </is>
      </c>
      <c r="G8" t="inlineStr"/>
      <c r="H8" t="inlineStr">
        <is>
          <t>vor Ort</t>
        </is>
      </c>
      <c r="I8" t="inlineStr"/>
    </row>
    <row r="9">
      <c r="A9" s="1" t="n">
        <v>47546</v>
      </c>
      <c r="B9" t="inlineStr">
        <is>
          <t>Unterkunft</t>
        </is>
      </c>
      <c r="C9" t="inlineStr">
        <is>
          <t>Casa Mar</t>
        </is>
      </c>
      <c r="D9" t="n">
        <v>0</v>
      </c>
      <c r="E9" t="inlineStr">
        <is>
          <t>EUR</t>
        </is>
      </c>
      <c r="G9" t="inlineStr"/>
      <c r="H9" t="inlineStr">
        <is>
          <t>vor Ort</t>
        </is>
      </c>
      <c r="I9" t="inlineStr"/>
    </row>
    <row r="10">
      <c r="A10" s="1" t="n">
        <v>47546</v>
      </c>
      <c r="B10" t="inlineStr">
        <is>
          <t>Tauchen 2 Tauchgänge</t>
        </is>
      </c>
      <c r="C10" t="inlineStr"/>
      <c r="D10" t="n">
        <v>110</v>
      </c>
      <c r="E10" t="inlineStr">
        <is>
          <t>EUR</t>
        </is>
      </c>
      <c r="G10" t="inlineStr"/>
      <c r="H10" t="inlineStr">
        <is>
          <t>vor Ort</t>
        </is>
      </c>
      <c r="I10" t="inlineStr"/>
    </row>
    <row r="11">
      <c r="A11" s="1" t="n">
        <v>47547</v>
      </c>
      <c r="B11" t="inlineStr">
        <is>
          <t>Flug Lissabon–Zürich</t>
        </is>
      </c>
      <c r="C11" t="inlineStr">
        <is>
          <t>18:40</t>
        </is>
      </c>
      <c r="D11" t="n">
        <v>0</v>
      </c>
      <c r="E11" t="inlineStr">
        <is>
          <t>CHF</t>
        </is>
      </c>
      <c r="G11" t="inlineStr"/>
      <c r="H11" t="inlineStr"/>
      <c r="I11" t="inlineStr">
        <is>
          <t>im Hinflug enthalten</t>
        </is>
      </c>
    </row>
    <row r="12">
      <c r="A12" s="1" t="n">
        <v>47552</v>
      </c>
      <c r="B12" t="inlineStr">
        <is>
          <t>Ausserhalb</t>
        </is>
      </c>
      <c r="C12" t="inlineStr"/>
      <c r="D12" t="n">
        <v>10</v>
      </c>
      <c r="E12" t="inlineStr">
        <is>
          <t>CHF</t>
        </is>
      </c>
      <c r="G12" t="inlineStr"/>
      <c r="H12" t="inlineStr"/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</t>
        </is>
      </c>
      <c r="B1" t="inlineStr">
        <is>
          <t>Betrag</t>
        </is>
      </c>
    </row>
    <row r="2">
      <c r="A2" t="inlineStr">
        <is>
          <t>Testkarte</t>
        </is>
      </c>
      <c r="B2">
        <f>SUMIF(Reiseablauf!G:G,A2,Reiseablauf!F:F)</f>
        <v/>
      </c>
    </row>
    <row r="3">
      <c r="A3" t="inlineStr">
        <is>
          <t>Total</t>
        </is>
      </c>
      <c r="B3" t="n">
        <v>591</v>
      </c>
    </row>
    <row r="4">
      <c r="A4" t="inlineStr">
        <is>
          <t>pro Person</t>
        </is>
      </c>
      <c r="B4">
        <f>B3/2</f>
        <v/>
      </c>
    </row>
    <row r="5">
      <c r="A5" t="inlineStr">
        <is>
          <t>bereits bezahlt</t>
        </is>
      </c>
      <c r="B5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2026-10-28T22:32:30Z</dcterms:created>
  <dcterms:modified xmlns:dcterms="http://purl.org/dc/terms/" xmlns:xsi="http://www.w3.org/2001/XMLSchema-instance" xsi:type="dcterms:W3CDTF">2026-10-28T22:32:30Z</dcterms:modified>
</cp:coreProperties>
</file>